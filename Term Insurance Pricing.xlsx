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TH\Documents\UOC\Projects\Life Pricing\Output\"/>
    </mc:Choice>
  </mc:AlternateContent>
  <xr:revisionPtr revIDLastSave="0" documentId="13_ncr:1_{756FA83F-0885-4423-AF1B-E2A25DA9E203}" xr6:coauthVersionLast="47" xr6:coauthVersionMax="47" xr10:uidLastSave="{00000000-0000-0000-0000-000000000000}"/>
  <bookViews>
    <workbookView xWindow="-110" yWindow="-110" windowWidth="19420" windowHeight="10300" xr2:uid="{527FDEA8-F68D-4888-855C-01280AB28734}"/>
  </bookViews>
  <sheets>
    <sheet name="Dashboard" sheetId="1" r:id="rId1"/>
    <sheet name="Calculations" sheetId="2" r:id="rId2"/>
    <sheet name="Data_feed" sheetId="3" r:id="rId3"/>
    <sheet name="Sensitivity" sheetId="4" r:id="rId4"/>
  </sheets>
  <definedNames>
    <definedName name="Base_Interest">Dashboard!$C$31</definedName>
    <definedName name="Calc_Scalar">Calculations!$C$6</definedName>
    <definedName name="ExternalData_1" localSheetId="2" hidden="1">Data_feed!$A$1:$J$21</definedName>
    <definedName name="Input_FaceAmount">Dashboard!$C$7</definedName>
    <definedName name="Input_IntShock">Dashboard!$C$30</definedName>
    <definedName name="Input_MortShock">Dashboard!$C$29</definedName>
    <definedName name="Input_TargetYear">Dashboard!$C$8</definedName>
    <definedName name="Output_Premium">Calculations!$F$3</definedName>
    <definedName name="Output_Reserve">Calculations!$F$4</definedName>
    <definedName name="Scaling_Factor">Calculations!$C$6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I9" i="1"/>
  <c r="H10" i="1"/>
  <c r="H11" i="1"/>
  <c r="H12" i="1"/>
  <c r="H8" i="1"/>
  <c r="C13" i="2"/>
  <c r="C14" i="2"/>
  <c r="I10" i="1" s="1"/>
  <c r="C15" i="2"/>
  <c r="I11" i="1" s="1"/>
  <c r="C16" i="2"/>
  <c r="I12" i="1" s="1"/>
  <c r="C12" i="2"/>
  <c r="I8" i="1" s="1"/>
  <c r="B13" i="2"/>
  <c r="B14" i="2"/>
  <c r="B15" i="2"/>
  <c r="B16" i="2"/>
  <c r="B12" i="2"/>
  <c r="F4" i="2"/>
  <c r="F8" i="1" s="1"/>
  <c r="C6" i="2"/>
  <c r="F3" i="2" s="1"/>
  <c r="F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2E7B1-7D07-433D-A815-144B25F5028A}" keepAlive="1" name="Query - master_actuarial_model" description="Connection to the 'master_actuarial_model' query in the workbook." type="5" refreshedVersion="0" background="1">
    <dbPr connection="Provider=Microsoft.Mashup.OleDb.1;Data Source=$Workbook$;Location=master_actuarial_model;Extended Properties=&quot;&quot;" command="SELECT * FROM [master_actuarial_model]"/>
  </connection>
  <connection id="2" xr16:uid="{F4B51822-3063-4FDD-BAE3-A80D2FEED228}" keepAlive="1" name="Query - master_actuarial_model (2)" description="Connection to the 'master_actuarial_model (2)' query in the workbook." type="5" refreshedVersion="8" background="1" saveData="1">
    <dbPr connection="Provider=Microsoft.Mashup.OleDb.1;Data Source=$Workbook$;Location=&quot;master_actuarial_model (2)&quot;;Extended Properties=&quot;&quot;" command="SELECT * FROM [master_actuarial_model (2)]"/>
  </connection>
</connections>
</file>

<file path=xl/sharedStrings.xml><?xml version="1.0" encoding="utf-8"?>
<sst xmlns="http://schemas.openxmlformats.org/spreadsheetml/2006/main" count="32" uniqueCount="31">
  <si>
    <t>Policy_Year</t>
  </si>
  <si>
    <t>Attained_Age</t>
  </si>
  <si>
    <t>qx</t>
  </si>
  <si>
    <t>px</t>
  </si>
  <si>
    <t>tpx</t>
  </si>
  <si>
    <t>v_premium</t>
  </si>
  <si>
    <t>v_benefit</t>
  </si>
  <si>
    <t>EPV_Benefit_Base</t>
  </si>
  <si>
    <t>EPV_Premium_Base</t>
  </si>
  <si>
    <t>Terminal_Reserve</t>
  </si>
  <si>
    <t>Level Term Life Insurance – Pricing &amp; Reserving Dashboard</t>
  </si>
  <si>
    <t>Model Inputs</t>
  </si>
  <si>
    <t>Face Amount ($):</t>
  </si>
  <si>
    <t>Target Policy Year:</t>
  </si>
  <si>
    <t>Key Outputs</t>
  </si>
  <si>
    <t>Annual Net Level Premium:</t>
  </si>
  <si>
    <t>Reserve at Target Year:</t>
  </si>
  <si>
    <t>Python Base Assumptions</t>
  </si>
  <si>
    <t>Base Face Amount:</t>
  </si>
  <si>
    <t>Base Net Premium:</t>
  </si>
  <si>
    <t>Scaling Factor:</t>
  </si>
  <si>
    <t>Dashboard Feeders</t>
  </si>
  <si>
    <t>Scaled Premium:</t>
  </si>
  <si>
    <t>Target Year Reserve:</t>
  </si>
  <si>
    <t>Interest Rate</t>
  </si>
  <si>
    <t>Net Level Premium</t>
  </si>
  <si>
    <t>Sensitivity Scaling Engine</t>
  </si>
  <si>
    <t>Scaled Premium</t>
  </si>
  <si>
    <t>Interest Rate Sensitivity</t>
  </si>
  <si>
    <t>Rate</t>
  </si>
  <si>
    <t>Net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</si>
</sst>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zo Sans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zo Sans"/>
    </font>
    <font>
      <b/>
      <u/>
      <sz val="11"/>
      <color rgb="FF002060"/>
      <name val="Azo Sans"/>
    </font>
    <font>
      <sz val="11"/>
      <color rgb="FF002060"/>
      <name val="Azo Sans"/>
    </font>
    <font>
      <b/>
      <sz val="11"/>
      <color theme="1"/>
      <name val="Azo Sans"/>
    </font>
    <font>
      <b/>
      <sz val="16"/>
      <color theme="0"/>
      <name val="Azo Sans"/>
    </font>
    <font>
      <b/>
      <sz val="11"/>
      <color rgb="FF002060"/>
      <name val="Azo Sa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10" fontId="0" fillId="0" borderId="0" xfId="0" applyNumberFormat="1"/>
    <xf numFmtId="0" fontId="0" fillId="3" borderId="0" xfId="0" applyFill="1"/>
    <xf numFmtId="0" fontId="1" fillId="3" borderId="0" xfId="0" applyFont="1" applyFill="1"/>
    <xf numFmtId="0" fontId="4" fillId="3" borderId="0" xfId="0" applyFont="1" applyFill="1"/>
    <xf numFmtId="9" fontId="0" fillId="3" borderId="0" xfId="1" applyFont="1" applyFill="1"/>
    <xf numFmtId="0" fontId="6" fillId="3" borderId="0" xfId="0" applyFont="1" applyFill="1"/>
    <xf numFmtId="0" fontId="2" fillId="3" borderId="0" xfId="0" applyFont="1" applyFill="1"/>
    <xf numFmtId="0" fontId="7" fillId="2" borderId="1" xfId="0" applyFont="1" applyFill="1" applyBorder="1"/>
    <xf numFmtId="0" fontId="0" fillId="4" borderId="0" xfId="0" applyFill="1"/>
    <xf numFmtId="0" fontId="9" fillId="4" borderId="0" xfId="0" applyFont="1" applyFill="1"/>
    <xf numFmtId="0" fontId="5" fillId="3" borderId="0" xfId="0" applyFont="1" applyFill="1"/>
    <xf numFmtId="0" fontId="8" fillId="3" borderId="0" xfId="0" applyFont="1" applyFill="1"/>
    <xf numFmtId="164" fontId="1" fillId="3" borderId="0" xfId="0" applyNumberFormat="1" applyFont="1" applyFill="1"/>
    <xf numFmtId="164" fontId="1" fillId="3" borderId="0" xfId="0" applyNumberFormat="1" applyFont="1" applyFill="1" applyAlignment="1">
      <alignment horizontal="center"/>
    </xf>
    <xf numFmtId="0" fontId="10" fillId="3" borderId="0" xfId="0" applyFont="1" applyFill="1"/>
    <xf numFmtId="0" fontId="7" fillId="3" borderId="1" xfId="0" applyFont="1" applyFill="1" applyBorder="1"/>
    <xf numFmtId="0" fontId="10" fillId="3" borderId="1" xfId="0" applyFont="1" applyFill="1" applyBorder="1"/>
    <xf numFmtId="164" fontId="7" fillId="3" borderId="1" xfId="0" applyNumberFormat="1" applyFont="1" applyFill="1" applyBorder="1"/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Terminal Reserves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Data_feed!$A$2:$A$21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Data_feed!$J$2:$J$21</c:f>
              <c:numCache>
                <c:formatCode>General</c:formatCode>
                <c:ptCount val="20"/>
                <c:pt idx="0">
                  <c:v>87.537661046641915</c:v>
                </c:pt>
                <c:pt idx="1">
                  <c:v>171.48355246701067</c:v>
                </c:pt>
                <c:pt idx="2">
                  <c:v>246.68061408609924</c:v>
                </c:pt>
                <c:pt idx="3">
                  <c:v>318.69008106794968</c:v>
                </c:pt>
                <c:pt idx="4">
                  <c:v>386.36409079091959</c:v>
                </c:pt>
                <c:pt idx="5">
                  <c:v>450.48988699596475</c:v>
                </c:pt>
                <c:pt idx="6">
                  <c:v>508.90516025056741</c:v>
                </c:pt>
                <c:pt idx="7">
                  <c:v>556.35372414092069</c:v>
                </c:pt>
                <c:pt idx="8">
                  <c:v>594.2790247202613</c:v>
                </c:pt>
                <c:pt idx="9">
                  <c:v>626.18226912205694</c:v>
                </c:pt>
                <c:pt idx="10">
                  <c:v>652.75480118933763</c:v>
                </c:pt>
                <c:pt idx="11">
                  <c:v>667.75987442714904</c:v>
                </c:pt>
                <c:pt idx="12">
                  <c:v>666.62708929491305</c:v>
                </c:pt>
                <c:pt idx="13">
                  <c:v>647.52671517606586</c:v>
                </c:pt>
                <c:pt idx="14">
                  <c:v>607.52803008745013</c:v>
                </c:pt>
                <c:pt idx="15">
                  <c:v>543.53251606241179</c:v>
                </c:pt>
                <c:pt idx="16">
                  <c:v>453.2573141063757</c:v>
                </c:pt>
                <c:pt idx="17">
                  <c:v>336.27678714951855</c:v>
                </c:pt>
                <c:pt idx="18">
                  <c:v>187.12449701159827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7-4EDC-A1D4-F6C4C9CE0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325440"/>
        <c:axId val="592333000"/>
      </c:lineChart>
      <c:catAx>
        <c:axId val="592325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33000"/>
        <c:crosses val="autoZero"/>
        <c:auto val="1"/>
        <c:lblAlgn val="ctr"/>
        <c:lblOffset val="100"/>
        <c:noMultiLvlLbl val="0"/>
      </c:catAx>
      <c:valAx>
        <c:axId val="592333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3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 Impact vs. Interest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Dashboard!$I$7</c:f>
              <c:strCache>
                <c:ptCount val="1"/>
                <c:pt idx="0">
                  <c:v>Net Premium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Dashboard!$H$8:$H$12</c:f>
              <c:numCache>
                <c:formatCode>General</c:formatCode>
                <c:ptCount val="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</c:numCache>
            </c:numRef>
          </c:cat>
          <c:val>
            <c:numRef>
              <c:f>Dashboard!$I$8:$I$12</c:f>
              <c:numCache>
                <c:formatCode>[$$-409]#,##0.00</c:formatCode>
                <c:ptCount val="5"/>
                <c:pt idx="0">
                  <c:v>118.81</c:v>
                </c:pt>
                <c:pt idx="1">
                  <c:v>113.42</c:v>
                </c:pt>
                <c:pt idx="2">
                  <c:v>108.27</c:v>
                </c:pt>
                <c:pt idx="3">
                  <c:v>103.35</c:v>
                </c:pt>
                <c:pt idx="4">
                  <c:v>98.67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2-4A79-9411-65983F2F31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8435720"/>
        <c:axId val="438436080"/>
      </c:lineChart>
      <c:catAx>
        <c:axId val="438435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6080"/>
        <c:crosses val="autoZero"/>
        <c:auto val="1"/>
        <c:lblAlgn val="ctr"/>
        <c:lblOffset val="100"/>
        <c:noMultiLvlLbl val="0"/>
      </c:catAx>
      <c:valAx>
        <c:axId val="438436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159905</xdr:colOff>
      <xdr:row>13</xdr:row>
      <xdr:rowOff>83415</xdr:rowOff>
    </xdr:from>
    <xdr:to>
      <xdr:col>6</xdr:col>
      <xdr:colOff>174433</xdr:colOff>
      <xdr:row>29</xdr:row>
      <xdr:rowOff>153554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BDEDA-7768-AD65-0CA5-C63E05C07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549853</xdr:colOff>
      <xdr:row>13</xdr:row>
      <xdr:rowOff>96837</xdr:rowOff>
    </xdr:from>
    <xdr:to>
      <xdr:col>15</xdr:col>
      <xdr:colOff>183369</xdr:colOff>
      <xdr:row>29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36AFC8-32C3-42BF-370C-609B722BC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00FC3A8-0FA7-495D-9B1A-3900A3C05258}" autoFormatId="16" applyNumberFormats="0" applyBorderFormats="0" applyFontFormats="0" applyPatternFormats="0" applyAlignmentFormats="0" applyWidthHeightFormats="0">
  <queryTableRefresh nextId="11">
    <queryTableFields count="10">
      <queryTableField id="1" name="Policy_Year" tableColumnId="1"/>
      <queryTableField id="2" name="Attained_Age" tableColumnId="2"/>
      <queryTableField id="3" name="qx" tableColumnId="3"/>
      <queryTableField id="4" name="px" tableColumnId="4"/>
      <queryTableField id="5" name="tpx" tableColumnId="5"/>
      <queryTableField id="6" name="v_premium" tableColumnId="6"/>
      <queryTableField id="7" name="v_benefit" tableColumnId="7"/>
      <queryTableField id="8" name="EPV_Benefit_Base" tableColumnId="8"/>
      <queryTableField id="9" name="EPV_Premium_Base" tableColumnId="9"/>
      <queryTableField id="10" name="Terminal_Reserv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2BAA2F-B66D-4F49-8CDC-68E3D7CDA6DE}" name="tbl_MasterData" displayName="tbl_MasterData" ref="A1:J21" tableType="queryTable" totalsRowShown="0">
  <autoFilter ref="A1:J21" xr:uid="{872BAA2F-B66D-4F49-8CDC-68E3D7CDA6DE}"/>
  <tableColumns count="10">
    <tableColumn id="1" xr3:uid="{7B40A08E-DA71-4783-8E9A-A53194121087}" uniqueName="1" name="Policy_Year" queryTableFieldId="1"/>
    <tableColumn id="2" xr3:uid="{BD1DD20E-B09E-4B73-90E6-531BDCFECB62}" uniqueName="2" name="Attained_Age" queryTableFieldId="2"/>
    <tableColumn id="3" xr3:uid="{6ECB69E1-0B12-471C-AD30-F000262E7076}" uniqueName="3" name="qx" queryTableFieldId="3"/>
    <tableColumn id="4" xr3:uid="{1909CE43-957E-4E9E-B56C-D00D5F8158AD}" uniqueName="4" name="px" queryTableFieldId="4"/>
    <tableColumn id="5" xr3:uid="{3AB83F66-B501-4796-A2CC-C7E4D2EF5F36}" uniqueName="5" name="tpx" queryTableFieldId="5"/>
    <tableColumn id="6" xr3:uid="{D5992680-1E27-4833-82DE-0EF36158D79C}" uniqueName="6" name="v_premium" queryTableFieldId="6"/>
    <tableColumn id="7" xr3:uid="{1D8854DC-92D5-4A69-AF8B-BB84B54A37A1}" uniqueName="7" name="v_benefit" queryTableFieldId="7"/>
    <tableColumn id="8" xr3:uid="{BD155D80-6276-4D6F-BB6E-9967E2F5FC75}" uniqueName="8" name="EPV_Benefit_Base" queryTableFieldId="8"/>
    <tableColumn id="9" xr3:uid="{4B088BBF-A70C-4174-98F2-B54F65BC7016}" uniqueName="9" name="EPV_Premium_Base" queryTableFieldId="9"/>
    <tableColumn id="10" xr3:uid="{73FA145E-CB6F-45B1-9572-0C04343CFEF1}" uniqueName="10" name="Terminal_Reserve" queryTableField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61BF8-487B-4C78-8D10-DE8BBCB63412}" name="tbl_Sensitivity" displayName="tbl_Sensitivity" ref="A1:B6" totalsRowShown="0">
  <autoFilter ref="A1:B6" xr:uid="{6D761BF8-487B-4C78-8D10-DE8BBCB63412}"/>
  <tableColumns count="2">
    <tableColumn id="1" xr3:uid="{3CDE6546-015D-46E1-BEC0-23B0259B6722}" name="Interest Rate" dataDxfId="0"/>
    <tableColumn id="2" xr3:uid="{4AFA83AD-3158-4557-8D0F-5025C34A9908}" name="Net Level Premi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B9B2-E696-44A6-9792-990F67CE72B1}">
  <sheetPr>
    <tabColor rgb="FF002060"/>
  </sheetPr>
  <dimension ref="A1:BO31"/>
  <sheetViews>
    <sheetView showGridLines="0" tabSelected="1" zoomScaleNormal="100" workbookViewId="0">
      <selection activeCell="K10" sqref="K10"/>
    </sheetView>
  </sheetViews>
  <sheetFormatPr defaultRowHeight="14.5" x14ac:dyDescent="0.35"/>
  <cols>
    <col min="1" max="1" width="8.7265625" style="2"/>
    <col min="2" max="2" width="19.54296875" style="2" customWidth="1"/>
    <col min="3" max="4" width="8.7265625" style="2"/>
    <col min="5" max="5" width="26.453125" style="2" customWidth="1"/>
    <col min="6" max="8" width="8.7265625" style="2"/>
    <col min="9" max="9" width="14.54296875" style="2" customWidth="1"/>
    <col min="10" max="16384" width="8.7265625" style="2"/>
  </cols>
  <sheetData>
    <row r="1" spans="1:67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</row>
    <row r="2" spans="1:67" ht="21.5" x14ac:dyDescent="0.55000000000000004">
      <c r="A2" s="9"/>
      <c r="B2" s="10" t="s">
        <v>10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5" spans="1:67" ht="15" x14ac:dyDescent="0.4">
      <c r="B5" s="6" t="s">
        <v>11</v>
      </c>
      <c r="C5" s="7"/>
      <c r="D5" s="7"/>
      <c r="E5" s="6" t="s">
        <v>14</v>
      </c>
      <c r="F5" s="7"/>
      <c r="H5" s="6" t="s">
        <v>28</v>
      </c>
      <c r="I5" s="7"/>
      <c r="J5" s="7"/>
    </row>
    <row r="6" spans="1:67" x14ac:dyDescent="0.35">
      <c r="B6" s="7"/>
      <c r="C6" s="7"/>
      <c r="D6" s="7"/>
      <c r="E6" s="7"/>
      <c r="F6" s="7"/>
      <c r="H6" s="7"/>
      <c r="I6" s="7"/>
      <c r="J6" s="7"/>
    </row>
    <row r="7" spans="1:67" ht="15" x14ac:dyDescent="0.4">
      <c r="B7" s="15" t="s">
        <v>12</v>
      </c>
      <c r="C7" s="8">
        <v>100000</v>
      </c>
      <c r="D7" s="7"/>
      <c r="E7" s="15" t="s">
        <v>15</v>
      </c>
      <c r="F7" s="16">
        <f>Output_Premium</f>
        <v>103.35</v>
      </c>
      <c r="H7" s="17" t="s">
        <v>29</v>
      </c>
      <c r="I7" s="17" t="s">
        <v>30</v>
      </c>
      <c r="J7" s="15"/>
    </row>
    <row r="8" spans="1:67" ht="15" x14ac:dyDescent="0.4">
      <c r="B8" s="15" t="s">
        <v>13</v>
      </c>
      <c r="C8" s="8">
        <v>12</v>
      </c>
      <c r="D8" s="7"/>
      <c r="E8" s="15" t="s">
        <v>16</v>
      </c>
      <c r="F8" s="16">
        <f>Output_Reserve</f>
        <v>667.75987442714904</v>
      </c>
      <c r="H8" s="16">
        <f>Calculations!B12</f>
        <v>0.02</v>
      </c>
      <c r="I8" s="18">
        <f>Calculations!C12</f>
        <v>118.81</v>
      </c>
      <c r="J8" s="3"/>
    </row>
    <row r="9" spans="1:67" ht="15" x14ac:dyDescent="0.4">
      <c r="H9" s="16">
        <f>Calculations!B13</f>
        <v>0.03</v>
      </c>
      <c r="I9" s="18">
        <f>Calculations!C13</f>
        <v>113.42</v>
      </c>
      <c r="J9" s="3"/>
    </row>
    <row r="10" spans="1:67" ht="15" x14ac:dyDescent="0.4">
      <c r="H10" s="16">
        <f>Calculations!B14</f>
        <v>0.04</v>
      </c>
      <c r="I10" s="18">
        <f>Calculations!C14</f>
        <v>108.27</v>
      </c>
      <c r="J10" s="3"/>
    </row>
    <row r="11" spans="1:67" ht="15" x14ac:dyDescent="0.4">
      <c r="H11" s="16">
        <f>Calculations!B15</f>
        <v>0.05</v>
      </c>
      <c r="I11" s="18">
        <f>Calculations!C15</f>
        <v>103.35</v>
      </c>
      <c r="J11" s="3"/>
    </row>
    <row r="12" spans="1:67" ht="15" x14ac:dyDescent="0.4">
      <c r="H12" s="16">
        <f>Calculations!B16</f>
        <v>0.06</v>
      </c>
      <c r="I12" s="18">
        <f>Calculations!C16</f>
        <v>98.67</v>
      </c>
      <c r="J12" s="3"/>
    </row>
    <row r="28" spans="2:3" x14ac:dyDescent="0.35">
      <c r="B28" s="4"/>
    </row>
    <row r="29" spans="2:3" x14ac:dyDescent="0.35">
      <c r="C29" s="5"/>
    </row>
    <row r="30" spans="2:3" x14ac:dyDescent="0.35">
      <c r="C30" s="5"/>
    </row>
    <row r="31" spans="2:3" x14ac:dyDescent="0.35">
      <c r="C31" s="5"/>
    </row>
  </sheetData>
  <dataValidations count="1">
    <dataValidation type="whole" allowBlank="1" showInputMessage="1" showErrorMessage="1" errorTitle="Invalid Year" error="Please enter a policy year between 1 and 20." sqref="C8" xr:uid="{815D66C8-61D3-4C52-91F5-0DF74362B3BC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CCB2-D41F-423A-8BF4-9AB23E90DB60}">
  <sheetPr>
    <tabColor theme="0" tint="-0.499984740745262"/>
  </sheetPr>
  <dimension ref="B2:F16"/>
  <sheetViews>
    <sheetView showGridLines="0" topLeftCell="A2" workbookViewId="0">
      <selection activeCell="F4" sqref="F4"/>
    </sheetView>
  </sheetViews>
  <sheetFormatPr defaultRowHeight="15" x14ac:dyDescent="0.4"/>
  <cols>
    <col min="1" max="1" width="8.7265625" style="3"/>
    <col min="2" max="2" width="19" style="3" customWidth="1"/>
    <col min="3" max="3" width="13.26953125" style="3" bestFit="1" customWidth="1"/>
    <col min="4" max="4" width="8.7265625" style="3"/>
    <col min="5" max="5" width="20.6328125" style="3" customWidth="1"/>
    <col min="6" max="6" width="8.81640625" style="3" bestFit="1" customWidth="1"/>
    <col min="7" max="16384" width="8.7265625" style="3"/>
  </cols>
  <sheetData>
    <row r="2" spans="2:6" ht="19" x14ac:dyDescent="0.5">
      <c r="B2" s="11" t="s">
        <v>17</v>
      </c>
      <c r="E2" s="11" t="s">
        <v>21</v>
      </c>
    </row>
    <row r="3" spans="2:6" x14ac:dyDescent="0.4">
      <c r="B3" s="12" t="s">
        <v>18</v>
      </c>
      <c r="C3" s="13">
        <v>100000</v>
      </c>
      <c r="E3" s="12" t="s">
        <v>22</v>
      </c>
      <c r="F3" s="3">
        <f>C4 * Calc_Scalar</f>
        <v>103.35</v>
      </c>
    </row>
    <row r="4" spans="2:6" x14ac:dyDescent="0.4">
      <c r="B4" s="12" t="s">
        <v>19</v>
      </c>
      <c r="C4" s="13">
        <v>103.35</v>
      </c>
      <c r="E4" s="12" t="s">
        <v>23</v>
      </c>
      <c r="F4" s="3">
        <f>INDEX(tbl_MasterData[Terminal_Reserve], MATCH(Input_TargetYear, tbl_MasterData[Policy_Year], 0)) * Calc_Scalar</f>
        <v>667.75987442714904</v>
      </c>
    </row>
    <row r="5" spans="2:6" x14ac:dyDescent="0.4">
      <c r="B5" s="12"/>
    </row>
    <row r="6" spans="2:6" x14ac:dyDescent="0.4">
      <c r="B6" s="12" t="s">
        <v>20</v>
      </c>
      <c r="C6" s="13">
        <f>Input_FaceAmount / C3</f>
        <v>1</v>
      </c>
    </row>
    <row r="10" spans="2:6" ht="19" x14ac:dyDescent="0.5">
      <c r="B10" s="11" t="s">
        <v>26</v>
      </c>
    </row>
    <row r="11" spans="2:6" x14ac:dyDescent="0.4">
      <c r="B11" s="12" t="s">
        <v>24</v>
      </c>
      <c r="C11" s="12" t="s">
        <v>27</v>
      </c>
    </row>
    <row r="12" spans="2:6" x14ac:dyDescent="0.4">
      <c r="B12" s="14">
        <f>Sensitivity!A2</f>
        <v>0.02</v>
      </c>
      <c r="C12" s="14">
        <f>Sensitivity!B2* Calc_Scalar</f>
        <v>118.81</v>
      </c>
    </row>
    <row r="13" spans="2:6" x14ac:dyDescent="0.4">
      <c r="B13" s="14">
        <f>Sensitivity!A3</f>
        <v>0.03</v>
      </c>
      <c r="C13" s="14">
        <f>Sensitivity!B3* Calc_Scalar</f>
        <v>113.42</v>
      </c>
    </row>
    <row r="14" spans="2:6" x14ac:dyDescent="0.4">
      <c r="B14" s="14">
        <f>Sensitivity!A4</f>
        <v>0.04</v>
      </c>
      <c r="C14" s="14">
        <f>Sensitivity!B4* Calc_Scalar</f>
        <v>108.27</v>
      </c>
    </row>
    <row r="15" spans="2:6" x14ac:dyDescent="0.4">
      <c r="B15" s="14">
        <f>Sensitivity!A5</f>
        <v>0.05</v>
      </c>
      <c r="C15" s="14">
        <f>Sensitivity!B5* Calc_Scalar</f>
        <v>103.35</v>
      </c>
    </row>
    <row r="16" spans="2:6" x14ac:dyDescent="0.4">
      <c r="B16" s="14">
        <f>Sensitivity!A6</f>
        <v>0.06</v>
      </c>
      <c r="C16" s="14">
        <f>Sensitivity!B6* Calc_Scalar</f>
        <v>98.67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1537-E910-4EB1-9FC0-57F96B9AC6BD}">
  <sheetPr>
    <tabColor rgb="FFFF0000"/>
  </sheetPr>
  <dimension ref="A1:J21"/>
  <sheetViews>
    <sheetView workbookViewId="0"/>
  </sheetViews>
  <sheetFormatPr defaultRowHeight="14.5" x14ac:dyDescent="0.35"/>
  <cols>
    <col min="1" max="1" width="12.6328125" bestFit="1" customWidth="1"/>
    <col min="2" max="2" width="14.453125" bestFit="1" customWidth="1"/>
    <col min="3" max="4" width="7.81640625" bestFit="1" customWidth="1"/>
    <col min="5" max="5" width="11.81640625" bestFit="1" customWidth="1"/>
    <col min="6" max="6" width="12.6328125" bestFit="1" customWidth="1"/>
    <col min="7" max="7" width="11.81640625" bestFit="1" customWidth="1"/>
    <col min="8" max="8" width="18.36328125" bestFit="1" customWidth="1"/>
    <col min="9" max="9" width="20.08984375" bestFit="1" customWidth="1"/>
    <col min="10" max="10" width="18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35</v>
      </c>
      <c r="C2">
        <v>2.1000000000000001E-4</v>
      </c>
      <c r="D2">
        <v>0.99978999999999996</v>
      </c>
      <c r="E2">
        <v>1</v>
      </c>
      <c r="F2">
        <v>1</v>
      </c>
      <c r="G2">
        <v>0.95238095238095233</v>
      </c>
      <c r="H2">
        <v>2.0000000000000001E-4</v>
      </c>
      <c r="I2">
        <v>1</v>
      </c>
      <c r="J2">
        <v>87.537661046641915</v>
      </c>
    </row>
    <row r="3" spans="1:10" x14ac:dyDescent="0.35">
      <c r="A3">
        <v>2</v>
      </c>
      <c r="B3">
        <v>36</v>
      </c>
      <c r="C3">
        <v>2.9E-4</v>
      </c>
      <c r="D3">
        <v>0.99970999999999999</v>
      </c>
      <c r="E3">
        <v>0.99978999999999996</v>
      </c>
      <c r="F3">
        <v>0.95238095238095233</v>
      </c>
      <c r="G3">
        <v>0.90702947845804982</v>
      </c>
      <c r="H3">
        <v>2.6298331065759638E-4</v>
      </c>
      <c r="I3">
        <v>0.95218095238095224</v>
      </c>
      <c r="J3">
        <v>171.48355246701067</v>
      </c>
    </row>
    <row r="4" spans="1:10" x14ac:dyDescent="0.35">
      <c r="A4">
        <v>3</v>
      </c>
      <c r="B4">
        <v>37</v>
      </c>
      <c r="C4">
        <v>4.2000000000000002E-4</v>
      </c>
      <c r="D4">
        <v>0.99958000000000002</v>
      </c>
      <c r="E4">
        <v>0.99950006089999999</v>
      </c>
      <c r="F4">
        <v>0.90702947845804982</v>
      </c>
      <c r="G4">
        <v>0.8638375985314759</v>
      </c>
      <c r="H4">
        <v>3.6263040758276638E-4</v>
      </c>
      <c r="I4">
        <v>0.90657601895691597</v>
      </c>
      <c r="J4">
        <v>246.68061408609924</v>
      </c>
    </row>
    <row r="5" spans="1:10" x14ac:dyDescent="0.35">
      <c r="A5">
        <v>4</v>
      </c>
      <c r="B5">
        <v>38</v>
      </c>
      <c r="C5">
        <v>4.8999999999999998E-4</v>
      </c>
      <c r="D5">
        <v>0.99951000000000001</v>
      </c>
      <c r="E5">
        <v>0.99908027087442197</v>
      </c>
      <c r="F5">
        <v>0.8638375985314759</v>
      </c>
      <c r="G5">
        <v>0.82270247479188185</v>
      </c>
      <c r="H5">
        <v>4.02753447568424E-4</v>
      </c>
      <c r="I5">
        <v>0.86304310193233713</v>
      </c>
      <c r="J5">
        <v>318.69008106794968</v>
      </c>
    </row>
    <row r="6" spans="1:10" x14ac:dyDescent="0.35">
      <c r="A6">
        <v>5</v>
      </c>
      <c r="B6">
        <v>39</v>
      </c>
      <c r="C6">
        <v>5.6999999999999998E-4</v>
      </c>
      <c r="D6">
        <v>0.99943000000000004</v>
      </c>
      <c r="E6">
        <v>0.99859072154169348</v>
      </c>
      <c r="F6">
        <v>0.82270247479188185</v>
      </c>
      <c r="G6">
        <v>0.78352616646845885</v>
      </c>
      <c r="H6">
        <v>4.4598051715470514E-4</v>
      </c>
      <c r="I6">
        <v>0.82154305791656224</v>
      </c>
      <c r="J6">
        <v>386.36409079091959</v>
      </c>
    </row>
    <row r="7" spans="1:10" x14ac:dyDescent="0.35">
      <c r="A7">
        <v>6</v>
      </c>
      <c r="B7">
        <v>40</v>
      </c>
      <c r="C7">
        <v>6.4000000000000005E-4</v>
      </c>
      <c r="D7">
        <v>0.99936000000000003</v>
      </c>
      <c r="E7">
        <v>0.99802152483041473</v>
      </c>
      <c r="F7">
        <v>0.78352616646845885</v>
      </c>
      <c r="G7">
        <v>0.74621539663662739</v>
      </c>
      <c r="H7">
        <v>4.7663297792206055E-4</v>
      </c>
      <c r="I7">
        <v>0.78197597940338071</v>
      </c>
      <c r="J7">
        <v>450.48988699596475</v>
      </c>
    </row>
    <row r="8" spans="1:10" x14ac:dyDescent="0.35">
      <c r="A8">
        <v>7</v>
      </c>
      <c r="B8">
        <v>41</v>
      </c>
      <c r="C8">
        <v>7.2999999999999996E-4</v>
      </c>
      <c r="D8">
        <v>0.99926999999999999</v>
      </c>
      <c r="E8">
        <v>0.99738279105452332</v>
      </c>
      <c r="F8">
        <v>0.74621539663662739</v>
      </c>
      <c r="G8">
        <v>0.71068133013012125</v>
      </c>
      <c r="H8">
        <v>5.1743956987473059E-4</v>
      </c>
      <c r="I8">
        <v>0.74426239502529756</v>
      </c>
      <c r="J8">
        <v>508.90516025056741</v>
      </c>
    </row>
    <row r="9" spans="1:10" x14ac:dyDescent="0.35">
      <c r="A9">
        <v>8</v>
      </c>
      <c r="B9">
        <v>42</v>
      </c>
      <c r="C9">
        <v>8.7000000000000001E-4</v>
      </c>
      <c r="D9">
        <v>0.99912999999999996</v>
      </c>
      <c r="E9">
        <v>0.9966547016170535</v>
      </c>
      <c r="F9">
        <v>0.71068133013012125</v>
      </c>
      <c r="G9">
        <v>0.67683936202868689</v>
      </c>
      <c r="H9">
        <v>5.8688036519267874E-4</v>
      </c>
      <c r="I9">
        <v>0.70830388902564667</v>
      </c>
      <c r="J9">
        <v>556.35372414092069</v>
      </c>
    </row>
    <row r="10" spans="1:10" x14ac:dyDescent="0.35">
      <c r="A10">
        <v>9</v>
      </c>
      <c r="B10">
        <v>43</v>
      </c>
      <c r="C10">
        <v>9.8999999999999999E-4</v>
      </c>
      <c r="D10">
        <v>0.99900999999999995</v>
      </c>
      <c r="E10">
        <v>0.99578761202664667</v>
      </c>
      <c r="F10">
        <v>0.67683936202868689</v>
      </c>
      <c r="G10">
        <v>0.64460891621779703</v>
      </c>
      <c r="H10">
        <v>6.3547463763788891E-4</v>
      </c>
      <c r="I10">
        <v>0.67398825204018509</v>
      </c>
      <c r="J10">
        <v>594.2790247202613</v>
      </c>
    </row>
    <row r="11" spans="1:10" x14ac:dyDescent="0.35">
      <c r="A11">
        <v>10</v>
      </c>
      <c r="B11">
        <v>44</v>
      </c>
      <c r="C11">
        <v>1.07E-3</v>
      </c>
      <c r="D11">
        <v>0.99892999999999998</v>
      </c>
      <c r="E11">
        <v>0.99480178229074023</v>
      </c>
      <c r="F11">
        <v>0.64460891621779703</v>
      </c>
      <c r="G11">
        <v>0.61391325354075899</v>
      </c>
      <c r="H11">
        <v>6.5347253870985189E-4</v>
      </c>
      <c r="I11">
        <v>0.64125809873396689</v>
      </c>
      <c r="J11">
        <v>626.18226912205694</v>
      </c>
    </row>
    <row r="12" spans="1:10" x14ac:dyDescent="0.35">
      <c r="A12">
        <v>11</v>
      </c>
      <c r="B12">
        <v>45</v>
      </c>
      <c r="C12">
        <v>1.14E-3</v>
      </c>
      <c r="D12">
        <v>0.99885999999999997</v>
      </c>
      <c r="E12">
        <v>0.9937373443836891</v>
      </c>
      <c r="F12">
        <v>0.61391325354075899</v>
      </c>
      <c r="G12">
        <v>0.58467928908643718</v>
      </c>
      <c r="H12">
        <v>6.6236011422030527E-4</v>
      </c>
      <c r="I12">
        <v>0.61006852625554431</v>
      </c>
      <c r="J12">
        <v>652.75480118933763</v>
      </c>
    </row>
    <row r="13" spans="1:10" x14ac:dyDescent="0.35">
      <c r="A13">
        <v>12</v>
      </c>
      <c r="B13">
        <v>46</v>
      </c>
      <c r="C13">
        <v>1.2700000000000001E-3</v>
      </c>
      <c r="D13">
        <v>0.99873000000000001</v>
      </c>
      <c r="E13">
        <v>0.99260448381109168</v>
      </c>
      <c r="F13">
        <v>0.58467928908643718</v>
      </c>
      <c r="G13">
        <v>0.55683741817755916</v>
      </c>
      <c r="H13">
        <v>7.0195353390678321E-4</v>
      </c>
      <c r="I13">
        <v>0.58035528393867908</v>
      </c>
      <c r="J13">
        <v>667.75987442714904</v>
      </c>
    </row>
    <row r="14" spans="1:10" x14ac:dyDescent="0.35">
      <c r="A14">
        <v>13</v>
      </c>
      <c r="B14">
        <v>47</v>
      </c>
      <c r="C14">
        <v>1.4400000000000001E-3</v>
      </c>
      <c r="D14">
        <v>0.99856</v>
      </c>
      <c r="E14">
        <v>0.99134387611665165</v>
      </c>
      <c r="F14">
        <v>0.55683741817755916</v>
      </c>
      <c r="G14">
        <v>0.5303213506452944</v>
      </c>
      <c r="H14">
        <v>7.5705238560401869E-4</v>
      </c>
      <c r="I14">
        <v>0.55201736450293037</v>
      </c>
      <c r="J14">
        <v>666.62708929491305</v>
      </c>
    </row>
    <row r="15" spans="1:10" x14ac:dyDescent="0.35">
      <c r="A15">
        <v>14</v>
      </c>
      <c r="B15">
        <v>48</v>
      </c>
      <c r="C15">
        <v>1.6199999999999999E-3</v>
      </c>
      <c r="D15">
        <v>0.99838000000000005</v>
      </c>
      <c r="E15">
        <v>0.98991634093504366</v>
      </c>
      <c r="F15">
        <v>0.5303213506452944</v>
      </c>
      <c r="G15">
        <v>0.50506795299551843</v>
      </c>
      <c r="H15">
        <v>8.0995953232365951E-4</v>
      </c>
      <c r="I15">
        <v>0.52497377095052011</v>
      </c>
      <c r="J15">
        <v>647.52671517606586</v>
      </c>
    </row>
    <row r="16" spans="1:10" x14ac:dyDescent="0.35">
      <c r="A16">
        <v>15</v>
      </c>
      <c r="B16">
        <v>49</v>
      </c>
      <c r="C16">
        <v>1.82E-3</v>
      </c>
      <c r="D16">
        <v>0.99817999999999996</v>
      </c>
      <c r="E16">
        <v>0.98831267646272891</v>
      </c>
      <c r="F16">
        <v>0.50506795299551843</v>
      </c>
      <c r="G16">
        <v>0.48101709809096993</v>
      </c>
      <c r="H16">
        <v>8.6521943806229106E-4</v>
      </c>
      <c r="I16">
        <v>0.49916506042055259</v>
      </c>
      <c r="J16">
        <v>607.52803008745013</v>
      </c>
    </row>
    <row r="17" spans="1:10" x14ac:dyDescent="0.35">
      <c r="A17">
        <v>16</v>
      </c>
      <c r="B17">
        <v>50</v>
      </c>
      <c r="C17">
        <v>2.0400000000000001E-3</v>
      </c>
      <c r="D17">
        <v>0.99795999999999996</v>
      </c>
      <c r="E17">
        <v>0.98651394739156673</v>
      </c>
      <c r="F17">
        <v>0.48101709809096993</v>
      </c>
      <c r="G17">
        <v>0.45811152199139993</v>
      </c>
      <c r="H17">
        <v>9.2194414804680079E-4</v>
      </c>
      <c r="I17">
        <v>0.4745300762005592</v>
      </c>
      <c r="J17">
        <v>543.53251606241179</v>
      </c>
    </row>
    <row r="18" spans="1:10" x14ac:dyDescent="0.35">
      <c r="A18">
        <v>17</v>
      </c>
      <c r="B18">
        <v>51</v>
      </c>
      <c r="C18">
        <v>2.2699999999999999E-3</v>
      </c>
      <c r="D18">
        <v>0.99773000000000001</v>
      </c>
      <c r="E18">
        <v>0.98450145893888785</v>
      </c>
      <c r="F18">
        <v>0.45811152199139993</v>
      </c>
      <c r="G18">
        <v>0.43629668761085705</v>
      </c>
      <c r="H18">
        <v>9.7504382684662099E-4</v>
      </c>
      <c r="I18">
        <v>0.45101146175724766</v>
      </c>
      <c r="J18">
        <v>453.2573141063757</v>
      </c>
    </row>
    <row r="19" spans="1:10" x14ac:dyDescent="0.35">
      <c r="A19">
        <v>18</v>
      </c>
      <c r="B19">
        <v>52</v>
      </c>
      <c r="C19">
        <v>2.49E-3</v>
      </c>
      <c r="D19">
        <v>0.99751000000000001</v>
      </c>
      <c r="E19">
        <v>0.98226664062709657</v>
      </c>
      <c r="F19">
        <v>0.43629668761085705</v>
      </c>
      <c r="G19">
        <v>0.41552065486748285</v>
      </c>
      <c r="H19">
        <v>1.0162986736419555E-3</v>
      </c>
      <c r="I19">
        <v>0.42855968165624636</v>
      </c>
      <c r="J19">
        <v>336.27678714951855</v>
      </c>
    </row>
    <row r="20" spans="1:10" x14ac:dyDescent="0.35">
      <c r="A20">
        <v>19</v>
      </c>
      <c r="B20">
        <v>53</v>
      </c>
      <c r="C20">
        <v>2.7499999999999998E-3</v>
      </c>
      <c r="D20">
        <v>0.99724999999999997</v>
      </c>
      <c r="E20">
        <v>0.97982079669193511</v>
      </c>
      <c r="F20">
        <v>0.41552065486748285</v>
      </c>
      <c r="G20">
        <v>0.39573395701665032</v>
      </c>
      <c r="H20">
        <v>1.0663079928657922E-3</v>
      </c>
      <c r="I20">
        <v>0.40713577909421167</v>
      </c>
      <c r="J20">
        <v>187.12449701159827</v>
      </c>
    </row>
    <row r="21" spans="1:10" x14ac:dyDescent="0.35">
      <c r="A21">
        <v>20</v>
      </c>
      <c r="B21">
        <v>54</v>
      </c>
      <c r="C21">
        <v>3.0500000000000002E-3</v>
      </c>
      <c r="D21">
        <v>0.99695</v>
      </c>
      <c r="E21">
        <v>0.97712628950103231</v>
      </c>
      <c r="F21">
        <v>0.39573395701665032</v>
      </c>
      <c r="G21">
        <v>0.37688948287300028</v>
      </c>
      <c r="H21">
        <v>1.1232192969525558E-3</v>
      </c>
      <c r="I21">
        <v>0.38668205304924053</v>
      </c>
      <c r="J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ADD8-4159-4E06-B34A-00E209F7F37D}">
  <sheetPr>
    <tabColor rgb="FF00B050"/>
  </sheetPr>
  <dimension ref="A1:B6"/>
  <sheetViews>
    <sheetView workbookViewId="0">
      <selection activeCell="C12" sqref="C12"/>
    </sheetView>
  </sheetViews>
  <sheetFormatPr defaultRowHeight="14.5" x14ac:dyDescent="0.35"/>
  <cols>
    <col min="1" max="1" width="13.7265625" customWidth="1"/>
    <col min="2" max="2" width="18.54296875" customWidth="1"/>
  </cols>
  <sheetData>
    <row r="1" spans="1:2" x14ac:dyDescent="0.35">
      <c r="A1" t="s">
        <v>24</v>
      </c>
      <c r="B1" t="s">
        <v>25</v>
      </c>
    </row>
    <row r="2" spans="1:2" x14ac:dyDescent="0.35">
      <c r="A2" s="1">
        <v>0.02</v>
      </c>
      <c r="B2">
        <v>118.81</v>
      </c>
    </row>
    <row r="3" spans="1:2" x14ac:dyDescent="0.35">
      <c r="A3" s="1">
        <v>0.03</v>
      </c>
      <c r="B3">
        <v>113.42</v>
      </c>
    </row>
    <row r="4" spans="1:2" x14ac:dyDescent="0.35">
      <c r="A4" s="1">
        <v>0.04</v>
      </c>
      <c r="B4">
        <v>108.27</v>
      </c>
    </row>
    <row r="5" spans="1:2" x14ac:dyDescent="0.35">
      <c r="A5" s="1">
        <v>0.05</v>
      </c>
      <c r="B5">
        <v>103.35</v>
      </c>
    </row>
    <row r="6" spans="1:2" x14ac:dyDescent="0.35">
      <c r="A6" s="1">
        <v>0.06</v>
      </c>
      <c r="B6">
        <v>98.67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0D8917-255D-47FB-9A6B-3DE12BCEF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Dashboard</vt:lpstr>
      <vt:lpstr>Calculations</vt:lpstr>
      <vt:lpstr>Data_feed</vt:lpstr>
      <vt:lpstr>Sensitivity</vt:lpstr>
      <vt:lpstr>Base_Interest</vt:lpstr>
      <vt:lpstr>Calc_Scalar</vt:lpstr>
      <vt:lpstr>Input_FaceAmount</vt:lpstr>
      <vt:lpstr>Input_IntShock</vt:lpstr>
      <vt:lpstr>Input_MortShock</vt:lpstr>
      <vt:lpstr>Input_TargetYear</vt:lpstr>
      <vt:lpstr>Output_Premium</vt:lpstr>
      <vt:lpstr>Output_Reserve</vt:lpstr>
      <vt:lpstr>Scaling_Factor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nithika gamaathige</dc:creator>
  <cp:lastModifiedBy>nithika gamaathige</cp:lastModifiedBy>
  <dcterms:created xsi:type="dcterms:W3CDTF">2026-04-05T11:59:44Z</dcterms:created>
  <dcterms:modified xsi:type="dcterms:W3CDTF">2026-04-07T13:33:52Z</dcterms:modified>
</cp:coreProperties>
</file>